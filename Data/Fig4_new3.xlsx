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Marmarelis/Documents/GitHub/EU_EmissionsPenalty/Data/"/>
    </mc:Choice>
  </mc:AlternateContent>
  <xr:revisionPtr revIDLastSave="0" documentId="13_ncr:1_{04F24309-A1F0-6B4A-ABC7-A86974749469}" xr6:coauthVersionLast="47" xr6:coauthVersionMax="47" xr10:uidLastSave="{00000000-0000-0000-0000-000000000000}"/>
  <bookViews>
    <workbookView xWindow="17960" yWindow="4820" windowWidth="34560" windowHeight="205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J3" i="1"/>
  <c r="J4" i="1"/>
  <c r="J5" i="1"/>
  <c r="J6" i="1"/>
  <c r="J7" i="1"/>
  <c r="J8" i="1"/>
  <c r="J9" i="1"/>
  <c r="J10" i="1"/>
  <c r="J11" i="1"/>
  <c r="J12" i="1"/>
  <c r="J13" i="1"/>
  <c r="J14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2" i="1"/>
  <c r="F15" i="1"/>
  <c r="E15" i="1"/>
</calcChain>
</file>

<file path=xl/sharedStrings.xml><?xml version="1.0" encoding="utf-8"?>
<sst xmlns="http://schemas.openxmlformats.org/spreadsheetml/2006/main" count="22" uniqueCount="22">
  <si>
    <t>Country</t>
  </si>
  <si>
    <t>Price Change Gas Cap</t>
  </si>
  <si>
    <t>Price Change Carbon Tax</t>
  </si>
  <si>
    <t>Average emissions factor</t>
  </si>
  <si>
    <t>Emissions Change Gas Cap</t>
  </si>
  <si>
    <t>Emissions Change Carbon Tax</t>
  </si>
  <si>
    <t>Emissions Change 2022</t>
  </si>
  <si>
    <t>BG</t>
  </si>
  <si>
    <t>CZ</t>
  </si>
  <si>
    <t>DE</t>
  </si>
  <si>
    <t>DK</t>
  </si>
  <si>
    <t>ES</t>
  </si>
  <si>
    <t>FI</t>
  </si>
  <si>
    <t>GR</t>
  </si>
  <si>
    <t>HR</t>
  </si>
  <si>
    <t>HU</t>
  </si>
  <si>
    <t>IT</t>
  </si>
  <si>
    <t>NL</t>
  </si>
  <si>
    <t>PL</t>
  </si>
  <si>
    <t>RO</t>
  </si>
  <si>
    <t>carbon</t>
  </si>
  <si>
    <t>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</si>
</sst>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B5" sqref="B5"/>
    </sheetView>
  </sheetViews>
  <sheetFormatPr baseColWidth="10" defaultColWidth="8.83203125" defaultRowHeight="15" x14ac:dyDescent="0.2"/>
  <cols>
    <col min="5" max="5" width="17.6640625" customWidth="1"/>
    <col min="6" max="6" width="27.66406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1" t="s">
        <v>20</v>
      </c>
      <c r="J1" s="1" t="s">
        <v>21</v>
      </c>
    </row>
    <row r="2" spans="1:12" x14ac:dyDescent="0.2">
      <c r="A2" t="s">
        <v>7</v>
      </c>
      <c r="B2">
        <v>-4.4339599999999999</v>
      </c>
      <c r="C2">
        <v>1.1432648897171021</v>
      </c>
      <c r="D2">
        <v>0.4699999988079071</v>
      </c>
      <c r="E2">
        <v>18.012393262609841</v>
      </c>
      <c r="F2">
        <v>-4.6449580192565918</v>
      </c>
      <c r="G2">
        <v>751.9312744140625</v>
      </c>
      <c r="I2">
        <f>-G2+F2</f>
        <v>-756.57623243331909</v>
      </c>
      <c r="J2">
        <f>-G2+E2</f>
        <v>-733.91888115145264</v>
      </c>
      <c r="L2">
        <v>0.53969999999999996</v>
      </c>
    </row>
    <row r="3" spans="1:12" x14ac:dyDescent="0.2">
      <c r="A3" t="s">
        <v>8</v>
      </c>
      <c r="B3">
        <v>-13.312239999999999</v>
      </c>
      <c r="C3">
        <v>3.7469756603240967</v>
      </c>
      <c r="D3">
        <v>0.5130000114440918</v>
      </c>
      <c r="E3">
        <v>106.22153190970421</v>
      </c>
      <c r="F3">
        <v>-29.898019790649414</v>
      </c>
      <c r="G3">
        <v>871.59100341796875</v>
      </c>
      <c r="I3">
        <f t="shared" ref="I3:I14" si="0">-G3+F3</f>
        <v>-901.48902320861816</v>
      </c>
      <c r="J3">
        <f t="shared" ref="J3:J14" si="1">-G3+E3</f>
        <v>-765.3694715082645</v>
      </c>
      <c r="L3">
        <v>1.62</v>
      </c>
    </row>
    <row r="4" spans="1:12" x14ac:dyDescent="0.2">
      <c r="A4" t="s">
        <v>9</v>
      </c>
      <c r="B4">
        <v>-13.211270000000001</v>
      </c>
      <c r="C4">
        <v>3.1966538429260254</v>
      </c>
      <c r="D4">
        <v>0.44100001454353333</v>
      </c>
      <c r="E4">
        <v>712.82052628993983</v>
      </c>
      <c r="F4">
        <v>-172.47706604003906</v>
      </c>
      <c r="G4">
        <v>7579.66162109375</v>
      </c>
      <c r="I4">
        <f t="shared" si="0"/>
        <v>-7752.1386871337891</v>
      </c>
      <c r="J4">
        <f t="shared" si="1"/>
        <v>-6866.8410948038099</v>
      </c>
      <c r="L4">
        <v>1.6080000000000001</v>
      </c>
    </row>
    <row r="5" spans="1:12" x14ac:dyDescent="0.2">
      <c r="A5" t="s">
        <v>10</v>
      </c>
      <c r="B5">
        <v>-13.01191</v>
      </c>
      <c r="C5">
        <v>1.1851184368133545</v>
      </c>
      <c r="D5">
        <v>0.16599999368190765</v>
      </c>
      <c r="E5">
        <v>20.680081757158042</v>
      </c>
      <c r="F5">
        <v>-1.8835310935974121</v>
      </c>
      <c r="G5">
        <v>168.7139892578125</v>
      </c>
      <c r="I5">
        <f t="shared" si="0"/>
        <v>-170.59752035140991</v>
      </c>
      <c r="J5">
        <f t="shared" si="1"/>
        <v>-148.03390750065446</v>
      </c>
    </row>
    <row r="6" spans="1:12" x14ac:dyDescent="0.2">
      <c r="A6" t="s">
        <v>11</v>
      </c>
      <c r="B6">
        <v>-14.53811</v>
      </c>
      <c r="C6">
        <v>2.1138124465942383</v>
      </c>
      <c r="D6">
        <v>0.26499998569488525</v>
      </c>
      <c r="E6">
        <v>324.43783818483354</v>
      </c>
      <c r="F6">
        <v>-47.172607421875</v>
      </c>
      <c r="G6">
        <v>455.520263671875</v>
      </c>
      <c r="I6">
        <f t="shared" si="0"/>
        <v>-502.69287109375</v>
      </c>
      <c r="J6">
        <f t="shared" si="1"/>
        <v>-131.08242548704146</v>
      </c>
    </row>
    <row r="7" spans="1:12" x14ac:dyDescent="0.2">
      <c r="A7" t="s">
        <v>12</v>
      </c>
      <c r="B7">
        <v>-6.8516729999999999</v>
      </c>
      <c r="C7">
        <v>0.42480301856994629</v>
      </c>
      <c r="D7">
        <v>0.11299999803304672</v>
      </c>
      <c r="E7">
        <v>23.639680650830268</v>
      </c>
      <c r="F7">
        <v>-1.4656577110290527</v>
      </c>
      <c r="G7">
        <v>150.87226867675781</v>
      </c>
      <c r="I7">
        <f t="shared" si="0"/>
        <v>-152.33792638778687</v>
      </c>
      <c r="J7">
        <f t="shared" si="1"/>
        <v>-127.23258802592754</v>
      </c>
    </row>
    <row r="8" spans="1:12" x14ac:dyDescent="0.2">
      <c r="A8" t="s">
        <v>13</v>
      </c>
      <c r="B8">
        <v>-10.51557</v>
      </c>
      <c r="C8">
        <v>3.5944581031799316</v>
      </c>
      <c r="D8">
        <v>0.62300002574920654</v>
      </c>
      <c r="E8">
        <v>68.470784346759316</v>
      </c>
      <c r="F8">
        <v>-23.404850006103516</v>
      </c>
      <c r="G8">
        <v>111.514892578125</v>
      </c>
      <c r="I8">
        <f t="shared" si="0"/>
        <v>-134.91974258422852</v>
      </c>
      <c r="J8">
        <f t="shared" si="1"/>
        <v>-43.044108231365684</v>
      </c>
    </row>
    <row r="9" spans="1:12" x14ac:dyDescent="0.2">
      <c r="A9" t="s">
        <v>14</v>
      </c>
      <c r="B9">
        <f>-14.32304</f>
        <v>-14.323040000000001</v>
      </c>
      <c r="C9">
        <v>1.6503158807754517</v>
      </c>
      <c r="D9">
        <v>0.20999999344348907</v>
      </c>
      <c r="E9">
        <v>11.961427819356322</v>
      </c>
      <c r="F9">
        <v>-1.3782081604003906</v>
      </c>
      <c r="G9">
        <v>10.383581161499023</v>
      </c>
      <c r="I9">
        <f t="shared" si="0"/>
        <v>-11.761789321899414</v>
      </c>
      <c r="J9">
        <f t="shared" si="1"/>
        <v>1.5778466578572985</v>
      </c>
    </row>
    <row r="10" spans="1:12" x14ac:dyDescent="0.2">
      <c r="A10" t="s">
        <v>15</v>
      </c>
      <c r="B10">
        <v>-14.30109</v>
      </c>
      <c r="C10">
        <v>2.0401160717010498</v>
      </c>
      <c r="D10">
        <v>0.25999999046325684</v>
      </c>
      <c r="E10">
        <v>35.124999919533728</v>
      </c>
      <c r="F10">
        <v>-5.0107431411743164</v>
      </c>
      <c r="G10">
        <v>17.868825912475586</v>
      </c>
      <c r="I10">
        <f t="shared" si="0"/>
        <v>-22.879569053649902</v>
      </c>
      <c r="J10">
        <f t="shared" si="1"/>
        <v>17.256174007058142</v>
      </c>
    </row>
    <row r="11" spans="1:12" x14ac:dyDescent="0.2">
      <c r="A11" t="s">
        <v>16</v>
      </c>
      <c r="B11">
        <v>-16.13025</v>
      </c>
      <c r="C11">
        <v>2.2656533718109131</v>
      </c>
      <c r="D11">
        <v>0.25600001215934753</v>
      </c>
      <c r="E11">
        <v>222.61518031358719</v>
      </c>
      <c r="F11">
        <v>-31.268516540527344</v>
      </c>
      <c r="G11">
        <v>1158.9097900390625</v>
      </c>
      <c r="I11">
        <f t="shared" si="0"/>
        <v>-1190.1783065795898</v>
      </c>
      <c r="J11">
        <f t="shared" si="1"/>
        <v>-936.29460972547531</v>
      </c>
      <c r="L11">
        <v>1.96</v>
      </c>
    </row>
    <row r="12" spans="1:12" x14ac:dyDescent="0.2">
      <c r="A12" t="s">
        <v>17</v>
      </c>
      <c r="B12">
        <v>-15.609819999999999</v>
      </c>
      <c r="C12">
        <v>4.3251562118530273</v>
      </c>
      <c r="D12">
        <v>0.50499999523162842</v>
      </c>
      <c r="E12">
        <v>179.50556029677392</v>
      </c>
      <c r="F12">
        <v>-49.737251281738281</v>
      </c>
      <c r="G12">
        <v>162.19400024414062</v>
      </c>
      <c r="I12">
        <f t="shared" si="0"/>
        <v>-211.93125152587891</v>
      </c>
      <c r="J12">
        <f t="shared" si="1"/>
        <v>17.311560052633297</v>
      </c>
    </row>
    <row r="13" spans="1:12" x14ac:dyDescent="0.2">
      <c r="A13" t="s">
        <v>18</v>
      </c>
      <c r="B13">
        <v>-6.5027850000000003</v>
      </c>
      <c r="C13">
        <v>2.7579817771911621</v>
      </c>
      <c r="D13">
        <v>0.77300000190734863</v>
      </c>
      <c r="E13">
        <v>311.47399241924285</v>
      </c>
      <c r="F13">
        <v>-132.10333251953125</v>
      </c>
      <c r="G13">
        <v>1329.5472412109375</v>
      </c>
      <c r="I13">
        <f t="shared" si="0"/>
        <v>-1461.6505737304688</v>
      </c>
      <c r="J13">
        <f t="shared" si="1"/>
        <v>-1018.0732487916946</v>
      </c>
      <c r="L13">
        <v>0.79</v>
      </c>
    </row>
    <row r="14" spans="1:12" x14ac:dyDescent="0.2">
      <c r="A14" t="s">
        <v>19</v>
      </c>
      <c r="B14">
        <v>0.7416488</v>
      </c>
      <c r="C14">
        <v>-0.12451803684234619</v>
      </c>
      <c r="D14">
        <v>0.3059999942779541</v>
      </c>
      <c r="E14">
        <v>-2.8709708085283636</v>
      </c>
      <c r="F14">
        <v>0.48201742768287659</v>
      </c>
      <c r="G14">
        <v>28.894248962402344</v>
      </c>
      <c r="I14">
        <f t="shared" si="0"/>
        <v>-28.412231534719467</v>
      </c>
      <c r="J14">
        <f t="shared" si="1"/>
        <v>-31.765219770930706</v>
      </c>
    </row>
    <row r="15" spans="1:12" x14ac:dyDescent="0.2">
      <c r="E15">
        <f>AVERAGE(E2:E14)</f>
        <v>156.31484818167698</v>
      </c>
      <c r="F15">
        <f>AVERAGE(F2:F14)</f>
        <v>-38.458671099864517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Zissis Marmarelis</cp:lastModifiedBy>
  <dcterms:modified xsi:type="dcterms:W3CDTF">2025-11-28T15:19:21Z</dcterms:modified>
</cp:coreProperties>
</file>